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checkCompatibility="1" defaultThemeVersion="166925"/>
  <mc:AlternateContent xmlns:mc="http://schemas.openxmlformats.org/markup-compatibility/2006">
    <mc:Choice Requires="x15">
      <x15ac:absPath xmlns:x15ac="http://schemas.microsoft.com/office/spreadsheetml/2010/11/ac" url="C:\Users\info\Documents\GitHub\final-project\"/>
    </mc:Choice>
  </mc:AlternateContent>
  <xr:revisionPtr revIDLastSave="0" documentId="8_{FC9DDB20-B4E5-4BD6-89CA-AE9069CD02D6}" xr6:coauthVersionLast="47" xr6:coauthVersionMax="47" xr10:uidLastSave="{00000000-0000-0000-0000-000000000000}"/>
  <bookViews>
    <workbookView xWindow="3036" yWindow="3360" windowWidth="17280" windowHeight="8880" activeTab="4"/>
  </bookViews>
  <sheets>
    <sheet name="Question_4" sheetId="1" r:id="rId1"/>
    <sheet name="Question_3" sheetId="2" r:id="rId2"/>
    <sheet name="QUESTION_1" sheetId="3" r:id="rId3"/>
    <sheet name="Q2_(TABEL_1)" sheetId="4" r:id="rId4"/>
    <sheet name="Q2_(TABLE_2)" sheetId="5" r:id="rId5"/>
    <sheet name="Q2_(TABLE_3_)" sheetId="6" r:id="rId6"/>
    <sheet name="Sheet5" sheetId="7" state="hidden" r:id="rId7"/>
  </sheets>
  <calcPr calcId="191029"/>
  <pivotCaches>
    <pivotCache cacheId="38" r:id="rId8"/>
    <pivotCache cacheId="42" r:id="rId9"/>
    <pivotCache cacheId="45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2" l="1"/>
  <c r="F15" i="2" s="1"/>
  <c r="G15" i="2" s="1"/>
  <c r="F14" i="2"/>
  <c r="D14" i="2"/>
  <c r="G14" i="2" s="1"/>
  <c r="D13" i="2"/>
  <c r="D12" i="2"/>
  <c r="D11" i="2"/>
  <c r="F11" i="2" s="1"/>
  <c r="G11" i="2" s="1"/>
  <c r="D10" i="2"/>
  <c r="D9" i="2"/>
  <c r="F9" i="2" s="1"/>
  <c r="G9" i="2" s="1"/>
  <c r="D8" i="2"/>
  <c r="D7" i="2"/>
  <c r="F7" i="2" s="1"/>
  <c r="G7" i="2" s="1"/>
  <c r="D6" i="2"/>
  <c r="D5" i="2"/>
  <c r="F5" i="2" s="1"/>
  <c r="G5" i="2" s="1"/>
  <c r="D4" i="2"/>
  <c r="D3" i="2"/>
  <c r="F3" i="2" s="1"/>
  <c r="G3" i="2" s="1"/>
  <c r="D2" i="2"/>
  <c r="C11" i="1"/>
  <c r="C10" i="1"/>
  <c r="C9" i="1"/>
  <c r="C8" i="1"/>
  <c r="C7" i="1"/>
  <c r="C6" i="1"/>
  <c r="C5" i="1"/>
  <c r="C4" i="1"/>
  <c r="C3" i="1"/>
  <c r="C2" i="1"/>
  <c r="G10" i="2" l="1"/>
  <c r="F4" i="2"/>
  <c r="G4" i="2" s="1"/>
  <c r="F8" i="2"/>
  <c r="G8" i="2" s="1"/>
  <c r="F12" i="2"/>
  <c r="G12" i="2" s="1"/>
  <c r="F13" i="2"/>
  <c r="G13" i="2" s="1"/>
  <c r="F2" i="2"/>
  <c r="G2" i="2" s="1"/>
  <c r="G17" i="2" s="1"/>
  <c r="F6" i="2"/>
  <c r="G6" i="2" s="1"/>
  <c r="F10" i="2"/>
  <c r="G19" i="2" l="1"/>
  <c r="G20" i="2" s="1"/>
</calcChain>
</file>

<file path=xl/sharedStrings.xml><?xml version="1.0" encoding="utf-8"?>
<sst xmlns="http://schemas.openxmlformats.org/spreadsheetml/2006/main" count="142" uniqueCount="38">
  <si>
    <t>Time(s)</t>
  </si>
  <si>
    <t>Distance(m)</t>
  </si>
  <si>
    <t>Speed(m/s)</t>
  </si>
  <si>
    <t>ID</t>
  </si>
  <si>
    <t>PU</t>
  </si>
  <si>
    <t>QTE</t>
  </si>
  <si>
    <t>PT</t>
  </si>
  <si>
    <t>Remise</t>
  </si>
  <si>
    <t>Val Remise</t>
  </si>
  <si>
    <t>Total a payer</t>
  </si>
  <si>
    <t>Total facture:</t>
  </si>
  <si>
    <t>TVA:</t>
  </si>
  <si>
    <t>Val TVA:</t>
  </si>
  <si>
    <t>TTC:</t>
  </si>
  <si>
    <t>Ivy League Applicants</t>
  </si>
  <si>
    <r>
      <t>Students</t>
    </r>
    <r>
      <rPr>
        <b/>
        <sz val="12"/>
        <color rgb="FF000000"/>
        <rFont val="Calibri"/>
        <family val="2"/>
      </rPr>
      <t xml:space="preserve"> </t>
    </r>
  </si>
  <si>
    <t>Faculty</t>
  </si>
  <si>
    <t>UniveRsity</t>
  </si>
  <si>
    <t>Arts</t>
  </si>
  <si>
    <t>Yale</t>
  </si>
  <si>
    <t>Physics</t>
  </si>
  <si>
    <t>Brown</t>
  </si>
  <si>
    <t>Economics</t>
  </si>
  <si>
    <t>Dartmouth</t>
  </si>
  <si>
    <t>Harvard</t>
  </si>
  <si>
    <t>Columbia</t>
  </si>
  <si>
    <t>Cornell</t>
  </si>
  <si>
    <t>Mathematics</t>
  </si>
  <si>
    <t>Princeton</t>
  </si>
  <si>
    <t>Psychology</t>
  </si>
  <si>
    <t>Penn State</t>
  </si>
  <si>
    <t>table : 1</t>
  </si>
  <si>
    <t xml:space="preserve">Sum of Students </t>
  </si>
  <si>
    <t>Grand Total</t>
  </si>
  <si>
    <t>table : 2</t>
  </si>
  <si>
    <t>table : 3</t>
  </si>
  <si>
    <t>Values</t>
  </si>
  <si>
    <t xml:space="preserve">Average of Students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</si>
</sst>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&quot; &quot;[$DZD-40C]"/>
    <numFmt numFmtId="165" formatCode="&quot; &quot;#,##0.00&quot; &quot;[$DZD-40C]&quot; &quot;;&quot;-&quot;#,##0.00&quot; &quot;[$DZD-40C]&quot; &quot;;&quot; -&quot;00&quot; &quot;[$DZD-40C]&quot; &quot;;&quot; &quot;@&quot; &quot;"/>
  </numFmts>
  <fonts count="8" x14ac:knownFonts="1">
    <font>
      <sz val="11"/>
      <color rgb="FF000000"/>
      <name val="Calibri"/>
      <family val="2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rgb="FF2F75B5"/>
      <name val="Times New Roman"/>
      <family val="1"/>
    </font>
    <font>
      <b/>
      <sz val="20"/>
      <color rgb="FFFFFFFF"/>
      <name val="Calibri"/>
      <family val="2"/>
    </font>
    <font>
      <b/>
      <sz val="12"/>
      <color rgb="FFFFFFFF"/>
      <name val="Calibri"/>
      <family val="2"/>
    </font>
    <font>
      <b/>
      <sz val="12"/>
      <color rgb="FF000000"/>
      <name val="Calibri"/>
      <family val="2"/>
    </font>
    <font>
      <b/>
      <u/>
      <sz val="16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BC2E6"/>
        <bgColor rgb="FF9BC2E6"/>
      </patternFill>
    </fill>
    <fill>
      <patternFill patternType="solid">
        <fgColor rgb="FFD9E1F2"/>
        <bgColor rgb="FFD9E1F2"/>
      </patternFill>
    </fill>
    <fill>
      <patternFill patternType="solid">
        <fgColor rgb="FF70AD47"/>
        <bgColor rgb="FF70AD47"/>
      </patternFill>
    </fill>
    <fill>
      <patternFill patternType="solid">
        <fgColor rgb="FFC6E0B4"/>
        <bgColor rgb="FFC6E0B4"/>
      </patternFill>
    </fill>
    <fill>
      <patternFill patternType="solid">
        <fgColor rgb="FFE2EFDA"/>
        <bgColor rgb="FFE2EFDA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1" fillId="2" borderId="1" xfId="0" applyFont="1" applyFill="1" applyBorder="1"/>
    <xf numFmtId="0" fontId="2" fillId="0" borderId="1" xfId="0" applyFont="1" applyBorder="1"/>
    <xf numFmtId="164" fontId="2" fillId="0" borderId="1" xfId="0" applyNumberFormat="1" applyFont="1" applyBorder="1"/>
    <xf numFmtId="9" fontId="2" fillId="0" borderId="1" xfId="0" applyNumberFormat="1" applyFont="1" applyBorder="1"/>
    <xf numFmtId="0" fontId="2" fillId="3" borderId="1" xfId="0" applyFont="1" applyFill="1" applyBorder="1"/>
    <xf numFmtId="164" fontId="2" fillId="3" borderId="1" xfId="0" applyNumberFormat="1" applyFont="1" applyFill="1" applyBorder="1"/>
    <xf numFmtId="9" fontId="2" fillId="3" borderId="1" xfId="0" applyNumberFormat="1" applyFont="1" applyFill="1" applyBorder="1"/>
    <xf numFmtId="165" fontId="2" fillId="3" borderId="1" xfId="0" applyNumberFormat="1" applyFont="1" applyFill="1" applyBorder="1"/>
    <xf numFmtId="165" fontId="2" fillId="0" borderId="1" xfId="0" applyNumberFormat="1" applyFont="1" applyBorder="1"/>
    <xf numFmtId="0" fontId="2" fillId="0" borderId="0" xfId="0" applyFont="1"/>
    <xf numFmtId="164" fontId="3" fillId="3" borderId="1" xfId="0" applyNumberFormat="1" applyFont="1" applyFill="1" applyBorder="1"/>
    <xf numFmtId="0" fontId="2" fillId="0" borderId="1" xfId="0" applyFont="1" applyFill="1" applyBorder="1" applyAlignment="1">
      <alignment horizontal="right"/>
    </xf>
    <xf numFmtId="0" fontId="5" fillId="4" borderId="3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7" fillId="0" borderId="0" xfId="0" applyFont="1"/>
    <xf numFmtId="0" fontId="0" fillId="0" borderId="0" xfId="0" pivotButton="1"/>
    <xf numFmtId="0" fontId="0" fillId="0" borderId="0" xfId="0" applyNumberForma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oleObject" Target="NULL" TargetMode="Externa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oleObject" Target="NULL" TargetMode="Externa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oleObject" Target="NULL" TargetMode="Externa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fr-CA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Speed/Time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5B9BD5"/>
              </a:solidFill>
              <a:prstDash val="solid"/>
              <a:round/>
            </a:ln>
          </c:spPr>
          <c:marker>
            <c:symbol val="none"/>
          </c:marker>
          <c:cat>
            <c:strLit>
              <c:ptCount val="1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</c:strLit>
          </c:cat>
          <c:val>
            <c:numLit>
              <c:formatCode>General</c:formatCode>
              <c:ptCount val="10"/>
              <c:pt idx="0">
                <c:v>5</c:v>
              </c:pt>
              <c:pt idx="1">
                <c:v>5</c:v>
              </c:pt>
              <c:pt idx="2">
                <c:v>5.666666666666667</c:v>
              </c:pt>
              <c:pt idx="3">
                <c:v>6.75</c:v>
              </c:pt>
              <c:pt idx="4">
                <c:v>7.4</c:v>
              </c:pt>
              <c:pt idx="5">
                <c:v>8.1666666666666661</c:v>
              </c:pt>
              <c:pt idx="6">
                <c:v>9</c:v>
              </c:pt>
              <c:pt idx="7">
                <c:v>9.375</c:v>
              </c:pt>
              <c:pt idx="8">
                <c:v>9.2222222222222214</c:v>
              </c:pt>
              <c:pt idx="9">
                <c:v>9.1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8913264"/>
        <c:axId val="998924912"/>
      </c:lineChart>
      <c:valAx>
        <c:axId val="998924912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998913264"/>
        <c:crosses val="autoZero"/>
        <c:crossBetween val="between"/>
      </c:valAx>
      <c:catAx>
        <c:axId val="9989132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99892491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fr-FR"/>
    </a:p>
  </c:txPr>
  <c:externalData r:id="rId1">
    <c:autoUpdate val="0"/>
  </c:externalData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fr-CA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Speed/Time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1.6666666666666666E-2"/>
          <c:y val="0.19640715866399053"/>
          <c:w val="0.9555555555555556"/>
          <c:h val="0.56443505223611745"/>
        </c:manualLayout>
      </c:layout>
      <c:lineChart>
        <c:grouping val="stacke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5B9BD5"/>
              </a:solidFill>
              <a:prstDash val="solid"/>
              <a:round/>
            </a:ln>
          </c:spPr>
          <c:marker>
            <c:symbol val="none"/>
          </c:marker>
          <c:cat>
            <c:strLit>
              <c:ptCount val="10"/>
              <c:pt idx="0">
                <c:v>5</c:v>
              </c:pt>
              <c:pt idx="1">
                <c:v>10</c:v>
              </c:pt>
              <c:pt idx="2">
                <c:v>17</c:v>
              </c:pt>
              <c:pt idx="3">
                <c:v>27</c:v>
              </c:pt>
              <c:pt idx="4">
                <c:v>37</c:v>
              </c:pt>
              <c:pt idx="5">
                <c:v>49</c:v>
              </c:pt>
              <c:pt idx="6">
                <c:v>63</c:v>
              </c:pt>
              <c:pt idx="7">
                <c:v>75</c:v>
              </c:pt>
              <c:pt idx="8">
                <c:v>83</c:v>
              </c:pt>
              <c:pt idx="9">
                <c:v>91</c:v>
              </c:pt>
            </c:strLit>
          </c:cat>
          <c:val>
            <c:numLit>
              <c:formatCode>General</c:formatCode>
              <c:ptCount val="10"/>
              <c:pt idx="0">
                <c:v>5</c:v>
              </c:pt>
              <c:pt idx="1">
                <c:v>5</c:v>
              </c:pt>
              <c:pt idx="2">
                <c:v>5.666666666666667</c:v>
              </c:pt>
              <c:pt idx="3">
                <c:v>6.75</c:v>
              </c:pt>
              <c:pt idx="4">
                <c:v>7.4</c:v>
              </c:pt>
              <c:pt idx="5">
                <c:v>8.1666666666666661</c:v>
              </c:pt>
              <c:pt idx="6">
                <c:v>9</c:v>
              </c:pt>
              <c:pt idx="7">
                <c:v>9.375</c:v>
              </c:pt>
              <c:pt idx="8">
                <c:v>9.2222222222222214</c:v>
              </c:pt>
              <c:pt idx="9">
                <c:v>9.1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8925328"/>
        <c:axId val="998926992"/>
      </c:lineChart>
      <c:valAx>
        <c:axId val="998926992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998925328"/>
        <c:crosses val="autoZero"/>
        <c:crossBetween val="between"/>
      </c:valAx>
      <c:catAx>
        <c:axId val="99892532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998926992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fr-FR"/>
    </a:p>
  </c:txPr>
  <c:externalData r:id="rId1">
    <c:autoUpdate val="0"/>
  </c:externalData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400" b="0" i="0" u="none" strike="noStrike" kern="1200" spc="0" baseline="0">
                <a:solidFill>
                  <a:srgbClr val="595959"/>
                </a:solidFill>
                <a:latin typeface="Calibri"/>
              </a:defRPr>
            </a:pPr>
            <a:r>
              <a:rPr lang="fr-CA" sz="1400" b="0" i="0" u="none" strike="noStrike" kern="1200" cap="none" spc="0" baseline="0">
                <a:solidFill>
                  <a:srgbClr val="595959"/>
                </a:solidFill>
                <a:uFillTx/>
                <a:latin typeface="Calibri"/>
              </a:rPr>
              <a:t>Speed/Distance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1.5124009734622454E-2"/>
          <c:y val="0.18302425482324194"/>
          <c:w val="0.95160316884920815"/>
          <c:h val="0.65223148737588943"/>
        </c:manualLayout>
      </c:layout>
      <c:lineChart>
        <c:grouping val="stacked"/>
        <c:varyColors val="0"/>
        <c:ser>
          <c:idx val="0"/>
          <c:order val="0"/>
          <c:tx>
            <c:v>Total</c:v>
          </c:tx>
          <c:spPr>
            <a:ln w="28575" cap="rnd">
              <a:solidFill>
                <a:srgbClr val="5B9BD5"/>
              </a:solidFill>
              <a:prstDash val="solid"/>
              <a:round/>
            </a:ln>
          </c:spPr>
          <c:marker>
            <c:symbol val="none"/>
          </c:marker>
          <c:cat>
            <c:strLit>
              <c:ptCount val="10"/>
              <c:pt idx="0">
                <c:v>5</c:v>
              </c:pt>
              <c:pt idx="1">
                <c:v>10</c:v>
              </c:pt>
              <c:pt idx="2">
                <c:v>17</c:v>
              </c:pt>
              <c:pt idx="3">
                <c:v>27</c:v>
              </c:pt>
              <c:pt idx="4">
                <c:v>37</c:v>
              </c:pt>
              <c:pt idx="5">
                <c:v>49</c:v>
              </c:pt>
              <c:pt idx="6">
                <c:v>63</c:v>
              </c:pt>
              <c:pt idx="7">
                <c:v>75</c:v>
              </c:pt>
              <c:pt idx="8">
                <c:v>83</c:v>
              </c:pt>
              <c:pt idx="9">
                <c:v>91</c:v>
              </c:pt>
            </c:strLit>
          </c:cat>
          <c:val>
            <c:numLit>
              <c:formatCode>General</c:formatCode>
              <c:ptCount val="10"/>
              <c:pt idx="0">
                <c:v>5</c:v>
              </c:pt>
              <c:pt idx="1">
                <c:v>5</c:v>
              </c:pt>
              <c:pt idx="2">
                <c:v>5.666666666666667</c:v>
              </c:pt>
              <c:pt idx="3">
                <c:v>6.75</c:v>
              </c:pt>
              <c:pt idx="4">
                <c:v>7.4</c:v>
              </c:pt>
              <c:pt idx="5">
                <c:v>8.1666666666666661</c:v>
              </c:pt>
              <c:pt idx="6">
                <c:v>9</c:v>
              </c:pt>
              <c:pt idx="7">
                <c:v>9.375</c:v>
              </c:pt>
              <c:pt idx="8">
                <c:v>9.2222222222222214</c:v>
              </c:pt>
              <c:pt idx="9">
                <c:v>9.1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8919088"/>
        <c:axId val="698319664"/>
      </c:lineChart>
      <c:valAx>
        <c:axId val="698319664"/>
        <c:scaling>
          <c:orientation val="minMax"/>
        </c:scaling>
        <c:delete val="0"/>
        <c:axPos val="l"/>
        <c:majorGridlines>
          <c:spPr>
            <a:ln w="9528" cap="flat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998919088"/>
        <c:crosses val="autoZero"/>
        <c:crossBetween val="between"/>
      </c:valAx>
      <c:catAx>
        <c:axId val="998919088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8" cap="flat">
            <a:solidFill>
              <a:srgbClr val="D9D9D9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900" b="0" i="0" u="none" strike="noStrike" kern="1200" baseline="0">
                <a:solidFill>
                  <a:srgbClr val="595959"/>
                </a:solidFill>
                <a:latin typeface="Calibri"/>
              </a:defRPr>
            </a:pPr>
            <a:endParaRPr lang="fr-FR"/>
          </a:p>
        </c:txPr>
        <c:crossAx val="698319664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900" b="0" i="0" u="none" strike="noStrike" kern="1200" baseline="0">
              <a:solidFill>
                <a:srgbClr val="595959"/>
              </a:solidFill>
              <a:latin typeface="Calibri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rgbClr val="FFFFFF"/>
    </a:solidFill>
    <a:ln w="9528" cap="flat">
      <a:solidFill>
        <a:srgbClr val="D9D9D9"/>
      </a:solidFill>
      <a:prstDash val="solid"/>
      <a:round/>
    </a:ln>
  </c:spPr>
  <c:txPr>
    <a:bodyPr lIns="0" tIns="0" rIns="0" bIns="0"/>
    <a:lstStyle/>
    <a:p>
      <a:pPr marL="0" marR="0" indent="0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fr-FR"/>
    </a:p>
  </c:txPr>
  <c:externalData r:id="rId1">
    <c:autoUpdate val="0"/>
  </c:externalData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876296</xdr:colOff>
      <xdr:row>22</xdr:row>
      <xdr:rowOff>68580</xdr:rowOff>
    </xdr:from>
    <xdr:ext cx="121916" cy="99056"/>
    <xdr:graphicFrame macro="">
      <xdr:nvGraphicFramePr>
        <xdr:cNvPr id="4" name="Graphique 1">
          <a:extLst>
            <a:ext uri="{FF2B5EF4-FFF2-40B4-BE49-F238E27FC236}">
              <a16:creationId xmlns:a16="http://schemas.microsoft.com/office/drawing/2014/main" id="{D31A9F33-41DF-4123-AB9E-413546BD91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7616</xdr:colOff>
      <xdr:row>13</xdr:row>
      <xdr:rowOff>0</xdr:rowOff>
    </xdr:from>
    <xdr:ext cx="4572000" cy="3108960"/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10CA2E2-A2A9-40B6-BF13-54A054E2D1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13</xdr:row>
      <xdr:rowOff>0</xdr:rowOff>
    </xdr:from>
    <xdr:ext cx="4198623" cy="3116576"/>
    <xdr:graphicFrame macro="">
      <xdr:nvGraphicFramePr>
        <xdr:cNvPr id="2" name="Graphique 3">
          <a:extLst>
            <a:ext uri="{FF2B5EF4-FFF2-40B4-BE49-F238E27FC236}">
              <a16:creationId xmlns:a16="http://schemas.microsoft.com/office/drawing/2014/main" id="{3485D5B6-9FFC-4546-9265-756B101D26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info" refreshedDate="45296.59140208333" createdVersion="7" refreshedVersion="7" recordCount="40">
  <cacheSource type="worksheet">
    <worksheetSource ref="A3:C43" sheet="QUESTION_1"/>
  </cacheSource>
  <cacheFields count="3">
    <cacheField name="Students " numFmtId="0">
      <sharedItems containsSemiMixedTypes="0" containsString="0" containsNumber="1" containsInteger="1" minValue="135" maxValue="9567"/>
    </cacheField>
    <cacheField name="Faculty" numFmtId="0">
      <sharedItems/>
    </cacheField>
    <cacheField name="UniveRsity" numFmtId="0">
      <sharedItems count="8">
        <s v="Yale"/>
        <s v="Brown"/>
        <s v="Dartmouth"/>
        <s v="Harvard"/>
        <s v="Columbia"/>
        <s v="Cornell"/>
        <s v="Princeton"/>
        <s v="Penn Sta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info" refreshedDate="45296.591402199076" createdVersion="7" refreshedVersion="7" recordCount="40">
  <cacheSource type="worksheet">
    <worksheetSource ref="A3:C43" sheet="QUESTION_1"/>
  </cacheSource>
  <cacheFields count="3">
    <cacheField name="Students " numFmtId="0">
      <sharedItems containsSemiMixedTypes="0" containsString="0" containsNumber="1" containsInteger="1" minValue="135" maxValue="9567"/>
    </cacheField>
    <cacheField name="Faculty" numFmtId="0">
      <sharedItems count="5">
        <s v="Arts"/>
        <s v="Physics"/>
        <s v="Economics"/>
        <s v="Mathematics"/>
        <s v="Psychology"/>
      </sharedItems>
    </cacheField>
    <cacheField name="UniveRsity" numFmtId="0">
      <sharedItems count="8">
        <s v="Yale"/>
        <s v="Brown"/>
        <s v="Dartmouth"/>
        <s v="Harvard"/>
        <s v="Columbia"/>
        <s v="Cornell"/>
        <s v="Princeton"/>
        <s v="Penn Stat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info" refreshedDate="45296.591402314814" createdVersion="7" refreshedVersion="7" recordCount="40">
  <cacheSource type="worksheet">
    <worksheetSource ref="A3:C43" sheet="QUESTION_1"/>
  </cacheSource>
  <cacheFields count="3">
    <cacheField name="Students " numFmtId="0">
      <sharedItems containsSemiMixedTypes="0" containsString="0" containsNumber="1" containsInteger="1" minValue="135" maxValue="9567"/>
    </cacheField>
    <cacheField name="Faculty" numFmtId="0">
      <sharedItems count="5">
        <s v="Arts"/>
        <s v="Physics"/>
        <s v="Economics"/>
        <s v="Mathematics"/>
        <s v="Psychology"/>
      </sharedItems>
    </cacheField>
    <cacheField name="UniveRsit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>
  <location ref="A3:C10" firstHeaderRow="1" firstDataRow="2" firstDataCol="1"/>
  <pivotFields count="3">
    <pivotField dataField="1" compact="0" showAll="0" includeNewItemsInFilter="1"/>
    <pivotField axis="axisRow" compact="0" showAll="0" includeNewItemsInFilter="1">
      <items count="6">
        <item x="0"/>
        <item x="2"/>
        <item x="3"/>
        <item x="1"/>
        <item x="4"/>
        <item t="default"/>
      </items>
    </pivotField>
    <pivotField compact="0" showAll="0" includeNewItemsInFilter="1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tudents " fld="0" baseField="1" baseItem="1048828"/>
    <dataField name="Average of Students " fld="0" subtotal="average" baseField="1" baseItem="1048828"/>
  </dataFields>
  <pivotTableStyleInfo name="PivotStyleLight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name="PivotTable2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>
  <location ref="A3:C13" firstHeaderRow="1" firstDataRow="2" firstDataCol="1"/>
  <pivotFields count="3">
    <pivotField dataField="1" compact="0" showAll="0" includeNewItemsInFilter="1"/>
    <pivotField compact="0" showAll="0" includeNewItemsInFilter="1"/>
    <pivotField axis="axisRow" compact="0" showAll="0" includeNewItemsInFilter="1">
      <items count="9">
        <item x="1"/>
        <item x="4"/>
        <item x="5"/>
        <item x="2"/>
        <item x="3"/>
        <item x="7"/>
        <item x="6"/>
        <item x="0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tudents " fld="0" baseField="1" baseItem="1048828"/>
    <dataField name="Average of Students " fld="0" subtotal="average" baseField="1" baseItem="1048828"/>
  </dataFields>
  <pivotTableStyleInfo name="PivotStyleLight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name="PivotTable3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>
  <location ref="A3:G13" firstHeaderRow="1" firstDataRow="2" firstDataCol="1"/>
  <pivotFields count="3">
    <pivotField dataField="1" compact="0" showAll="0" includeNewItemsInFilter="1"/>
    <pivotField axis="axisCol" compact="0" showAll="0" includeNewItemsInFilter="1">
      <items count="6">
        <item x="0"/>
        <item x="2"/>
        <item x="3"/>
        <item x="1"/>
        <item x="4"/>
        <item t="default"/>
      </items>
    </pivotField>
    <pivotField axis="axisRow" compact="0" showAll="0" includeNewItemsInFilter="1">
      <items count="9">
        <item x="1"/>
        <item x="4"/>
        <item x="5"/>
        <item x="2"/>
        <item x="3"/>
        <item x="7"/>
        <item x="6"/>
        <item x="0"/>
        <item t="default"/>
      </items>
    </pivotField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Students " fld="0" baseField="2" baseItem="1048828"/>
  </dataFields>
  <pivotTableStyleInfo name="PivotStyleLight20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/>
  </sheetViews>
  <sheetFormatPr defaultColWidth="17.21875" defaultRowHeight="14.4" x14ac:dyDescent="0.3"/>
  <cols>
    <col min="1" max="1" width="17.21875" customWidth="1"/>
  </cols>
  <sheetData>
    <row r="1" spans="1:3" s="2" customFormat="1" ht="13.8" x14ac:dyDescent="0.25">
      <c r="A1" s="1" t="s">
        <v>0</v>
      </c>
      <c r="B1" s="1" t="s">
        <v>1</v>
      </c>
      <c r="C1" s="1" t="s">
        <v>2</v>
      </c>
    </row>
    <row r="2" spans="1:3" x14ac:dyDescent="0.3">
      <c r="A2" s="3">
        <v>1</v>
      </c>
      <c r="B2" s="3">
        <v>5</v>
      </c>
      <c r="C2" s="3">
        <f t="shared" ref="C2:C11" si="0">B2/A2</f>
        <v>5</v>
      </c>
    </row>
    <row r="3" spans="1:3" x14ac:dyDescent="0.3">
      <c r="A3" s="4">
        <v>2</v>
      </c>
      <c r="B3" s="4">
        <v>10</v>
      </c>
      <c r="C3" s="4">
        <f t="shared" si="0"/>
        <v>5</v>
      </c>
    </row>
    <row r="4" spans="1:3" x14ac:dyDescent="0.3">
      <c r="A4" s="3">
        <v>3</v>
      </c>
      <c r="B4" s="3">
        <v>17</v>
      </c>
      <c r="C4" s="3">
        <f t="shared" si="0"/>
        <v>5.666666666666667</v>
      </c>
    </row>
    <row r="5" spans="1:3" x14ac:dyDescent="0.3">
      <c r="A5" s="4">
        <v>4</v>
      </c>
      <c r="B5" s="4">
        <v>27</v>
      </c>
      <c r="C5" s="4">
        <f t="shared" si="0"/>
        <v>6.75</v>
      </c>
    </row>
    <row r="6" spans="1:3" x14ac:dyDescent="0.3">
      <c r="A6" s="3">
        <v>5</v>
      </c>
      <c r="B6" s="3">
        <v>37</v>
      </c>
      <c r="C6" s="3">
        <f t="shared" si="0"/>
        <v>7.4</v>
      </c>
    </row>
    <row r="7" spans="1:3" x14ac:dyDescent="0.3">
      <c r="A7" s="4">
        <v>6</v>
      </c>
      <c r="B7" s="4">
        <v>49</v>
      </c>
      <c r="C7" s="4">
        <f t="shared" si="0"/>
        <v>8.1666666666666661</v>
      </c>
    </row>
    <row r="8" spans="1:3" x14ac:dyDescent="0.3">
      <c r="A8" s="3">
        <v>7</v>
      </c>
      <c r="B8" s="3">
        <v>63</v>
      </c>
      <c r="C8" s="3">
        <f t="shared" si="0"/>
        <v>9</v>
      </c>
    </row>
    <row r="9" spans="1:3" x14ac:dyDescent="0.3">
      <c r="A9" s="4">
        <v>8</v>
      </c>
      <c r="B9" s="4">
        <v>75</v>
      </c>
      <c r="C9" s="4">
        <f t="shared" si="0"/>
        <v>9.375</v>
      </c>
    </row>
    <row r="10" spans="1:3" x14ac:dyDescent="0.3">
      <c r="A10" s="3">
        <v>9</v>
      </c>
      <c r="B10" s="3">
        <v>83</v>
      </c>
      <c r="C10" s="3">
        <f t="shared" si="0"/>
        <v>9.2222222222222214</v>
      </c>
    </row>
    <row r="11" spans="1:3" x14ac:dyDescent="0.3">
      <c r="A11" s="4">
        <v>10</v>
      </c>
      <c r="B11" s="4">
        <v>91</v>
      </c>
      <c r="C11" s="4">
        <f t="shared" si="0"/>
        <v>9.1</v>
      </c>
    </row>
  </sheetData>
  <pageMargins left="0.70000000000000007" right="0.70000000000000007" top="0.75" bottom="0.75" header="0.30000000000000004" footer="0.30000000000000004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/>
  </sheetViews>
  <sheetFormatPr defaultColWidth="17.6640625" defaultRowHeight="14.4" x14ac:dyDescent="0.3"/>
  <cols>
    <col min="1" max="1" width="17.6640625" customWidth="1"/>
  </cols>
  <sheetData>
    <row r="1" spans="1:7" x14ac:dyDescent="0.3">
      <c r="A1" s="5" t="s">
        <v>3</v>
      </c>
      <c r="B1" s="5" t="s">
        <v>4</v>
      </c>
      <c r="C1" s="5" t="s">
        <v>5</v>
      </c>
      <c r="D1" s="5" t="s">
        <v>6</v>
      </c>
      <c r="E1" s="5" t="s">
        <v>7</v>
      </c>
      <c r="F1" s="5" t="s">
        <v>8</v>
      </c>
      <c r="G1" s="5" t="s">
        <v>9</v>
      </c>
    </row>
    <row r="2" spans="1:7" x14ac:dyDescent="0.3">
      <c r="A2" s="6">
        <v>1</v>
      </c>
      <c r="B2" s="7">
        <v>120</v>
      </c>
      <c r="C2" s="6">
        <v>3</v>
      </c>
      <c r="D2" s="7">
        <f t="shared" ref="D2:D15" si="0">B2*C2</f>
        <v>360</v>
      </c>
      <c r="E2" s="8">
        <v>0.05</v>
      </c>
      <c r="F2" s="7">
        <f t="shared" ref="F2:F15" si="1">D2*E2</f>
        <v>18</v>
      </c>
      <c r="G2" s="7">
        <f t="shared" ref="G2:G15" si="2">D2-F2</f>
        <v>342</v>
      </c>
    </row>
    <row r="3" spans="1:7" x14ac:dyDescent="0.3">
      <c r="A3" s="9">
        <v>2</v>
      </c>
      <c r="B3" s="10">
        <v>56</v>
      </c>
      <c r="C3" s="9">
        <v>5</v>
      </c>
      <c r="D3" s="10">
        <f t="shared" si="0"/>
        <v>280</v>
      </c>
      <c r="E3" s="11">
        <v>0.05</v>
      </c>
      <c r="F3" s="10">
        <f t="shared" si="1"/>
        <v>14</v>
      </c>
      <c r="G3" s="10">
        <f t="shared" si="2"/>
        <v>266</v>
      </c>
    </row>
    <row r="4" spans="1:7" x14ac:dyDescent="0.3">
      <c r="A4" s="6">
        <v>3</v>
      </c>
      <c r="B4" s="7">
        <v>70</v>
      </c>
      <c r="C4" s="6">
        <v>2</v>
      </c>
      <c r="D4" s="7">
        <f t="shared" si="0"/>
        <v>140</v>
      </c>
      <c r="E4" s="8">
        <v>0.05</v>
      </c>
      <c r="F4" s="7">
        <f t="shared" si="1"/>
        <v>7</v>
      </c>
      <c r="G4" s="7">
        <f t="shared" si="2"/>
        <v>133</v>
      </c>
    </row>
    <row r="5" spans="1:7" x14ac:dyDescent="0.3">
      <c r="A5" s="9">
        <v>4</v>
      </c>
      <c r="B5" s="10">
        <v>430</v>
      </c>
      <c r="C5" s="9">
        <v>7</v>
      </c>
      <c r="D5" s="10">
        <f t="shared" si="0"/>
        <v>3010</v>
      </c>
      <c r="E5" s="11">
        <v>0.1</v>
      </c>
      <c r="F5" s="10">
        <f t="shared" si="1"/>
        <v>301</v>
      </c>
      <c r="G5" s="10">
        <f t="shared" si="2"/>
        <v>2709</v>
      </c>
    </row>
    <row r="6" spans="1:7" x14ac:dyDescent="0.3">
      <c r="A6" s="6">
        <v>5</v>
      </c>
      <c r="B6" s="7">
        <v>230</v>
      </c>
      <c r="C6" s="6">
        <v>23</v>
      </c>
      <c r="D6" s="7">
        <f t="shared" si="0"/>
        <v>5290</v>
      </c>
      <c r="E6" s="8">
        <v>0.1</v>
      </c>
      <c r="F6" s="7">
        <f t="shared" si="1"/>
        <v>529</v>
      </c>
      <c r="G6" s="7">
        <f t="shared" si="2"/>
        <v>4761</v>
      </c>
    </row>
    <row r="7" spans="1:7" x14ac:dyDescent="0.3">
      <c r="A7" s="9">
        <v>6</v>
      </c>
      <c r="B7" s="10">
        <v>10</v>
      </c>
      <c r="C7" s="9">
        <v>2</v>
      </c>
      <c r="D7" s="10">
        <f t="shared" si="0"/>
        <v>20</v>
      </c>
      <c r="E7" s="11">
        <v>0</v>
      </c>
      <c r="F7" s="12">
        <f t="shared" si="1"/>
        <v>0</v>
      </c>
      <c r="G7" s="10">
        <f t="shared" si="2"/>
        <v>20</v>
      </c>
    </row>
    <row r="8" spans="1:7" x14ac:dyDescent="0.3">
      <c r="A8" s="6">
        <v>7</v>
      </c>
      <c r="B8" s="7">
        <v>5</v>
      </c>
      <c r="C8" s="6">
        <v>8</v>
      </c>
      <c r="D8" s="7">
        <f t="shared" si="0"/>
        <v>40</v>
      </c>
      <c r="E8" s="8">
        <v>0</v>
      </c>
      <c r="F8" s="13">
        <f t="shared" si="1"/>
        <v>0</v>
      </c>
      <c r="G8" s="7">
        <f t="shared" si="2"/>
        <v>40</v>
      </c>
    </row>
    <row r="9" spans="1:7" x14ac:dyDescent="0.3">
      <c r="A9" s="9">
        <v>8</v>
      </c>
      <c r="B9" s="10">
        <v>5040</v>
      </c>
      <c r="C9" s="9">
        <v>1</v>
      </c>
      <c r="D9" s="10">
        <f t="shared" si="0"/>
        <v>5040</v>
      </c>
      <c r="E9" s="11">
        <v>0.1</v>
      </c>
      <c r="F9" s="10">
        <f t="shared" si="1"/>
        <v>504</v>
      </c>
      <c r="G9" s="10">
        <f t="shared" si="2"/>
        <v>4536</v>
      </c>
    </row>
    <row r="10" spans="1:7" x14ac:dyDescent="0.3">
      <c r="A10" s="6">
        <v>9</v>
      </c>
      <c r="B10" s="7">
        <v>1200</v>
      </c>
      <c r="C10" s="6">
        <v>3</v>
      </c>
      <c r="D10" s="7">
        <f t="shared" si="0"/>
        <v>3600</v>
      </c>
      <c r="E10" s="8">
        <v>0.1</v>
      </c>
      <c r="F10" s="7">
        <f t="shared" si="1"/>
        <v>360</v>
      </c>
      <c r="G10" s="7">
        <f t="shared" si="2"/>
        <v>3240</v>
      </c>
    </row>
    <row r="11" spans="1:7" x14ac:dyDescent="0.3">
      <c r="A11" s="9">
        <v>10</v>
      </c>
      <c r="B11" s="10">
        <v>480</v>
      </c>
      <c r="C11" s="9">
        <v>4</v>
      </c>
      <c r="D11" s="10">
        <f t="shared" si="0"/>
        <v>1920</v>
      </c>
      <c r="E11" s="11">
        <v>0.1</v>
      </c>
      <c r="F11" s="10">
        <f t="shared" si="1"/>
        <v>192</v>
      </c>
      <c r="G11" s="10">
        <f t="shared" si="2"/>
        <v>1728</v>
      </c>
    </row>
    <row r="12" spans="1:7" x14ac:dyDescent="0.3">
      <c r="A12" s="6">
        <v>11</v>
      </c>
      <c r="B12" s="7">
        <v>33</v>
      </c>
      <c r="C12" s="6">
        <v>5</v>
      </c>
      <c r="D12" s="7">
        <f t="shared" si="0"/>
        <v>165</v>
      </c>
      <c r="E12" s="8">
        <v>0.05</v>
      </c>
      <c r="F12" s="7">
        <f t="shared" si="1"/>
        <v>8.25</v>
      </c>
      <c r="G12" s="7">
        <f t="shared" si="2"/>
        <v>156.75</v>
      </c>
    </row>
    <row r="13" spans="1:7" x14ac:dyDescent="0.3">
      <c r="A13" s="9">
        <v>12</v>
      </c>
      <c r="B13" s="10">
        <v>1200</v>
      </c>
      <c r="C13" s="9">
        <v>2</v>
      </c>
      <c r="D13" s="10">
        <f t="shared" si="0"/>
        <v>2400</v>
      </c>
      <c r="E13" s="11">
        <v>0.1</v>
      </c>
      <c r="F13" s="10">
        <f t="shared" si="1"/>
        <v>240</v>
      </c>
      <c r="G13" s="10">
        <f t="shared" si="2"/>
        <v>2160</v>
      </c>
    </row>
    <row r="14" spans="1:7" x14ac:dyDescent="0.3">
      <c r="A14" s="6">
        <v>13</v>
      </c>
      <c r="B14" s="7">
        <v>15</v>
      </c>
      <c r="C14" s="6">
        <v>10</v>
      </c>
      <c r="D14" s="7">
        <f t="shared" si="0"/>
        <v>150</v>
      </c>
      <c r="E14" s="8">
        <v>0.05</v>
      </c>
      <c r="F14" s="7">
        <f t="shared" si="1"/>
        <v>7.5</v>
      </c>
      <c r="G14" s="7">
        <f t="shared" si="2"/>
        <v>142.5</v>
      </c>
    </row>
    <row r="15" spans="1:7" x14ac:dyDescent="0.3">
      <c r="A15" s="9">
        <v>14</v>
      </c>
      <c r="B15" s="10">
        <v>24</v>
      </c>
      <c r="C15" s="9">
        <v>5</v>
      </c>
      <c r="D15" s="10">
        <f t="shared" si="0"/>
        <v>120</v>
      </c>
      <c r="E15" s="11">
        <v>0.05</v>
      </c>
      <c r="F15" s="10">
        <f t="shared" si="1"/>
        <v>6</v>
      </c>
      <c r="G15" s="10">
        <f t="shared" si="2"/>
        <v>114</v>
      </c>
    </row>
    <row r="16" spans="1:7" x14ac:dyDescent="0.3">
      <c r="A16" s="14"/>
      <c r="B16" s="14"/>
      <c r="C16" s="14"/>
      <c r="D16" s="14"/>
      <c r="E16" s="14"/>
      <c r="F16" s="14"/>
      <c r="G16" s="14"/>
    </row>
    <row r="17" spans="1:7" x14ac:dyDescent="0.3">
      <c r="A17" s="14"/>
      <c r="B17" s="14"/>
      <c r="C17" s="14"/>
      <c r="D17" s="14"/>
      <c r="E17" s="16" t="s">
        <v>10</v>
      </c>
      <c r="F17" s="16"/>
      <c r="G17" s="7">
        <f>SUM(G2:G15)</f>
        <v>20348.25</v>
      </c>
    </row>
    <row r="18" spans="1:7" x14ac:dyDescent="0.3">
      <c r="A18" s="14"/>
      <c r="B18" s="14"/>
      <c r="C18" s="14"/>
      <c r="D18" s="14"/>
      <c r="E18" s="16" t="s">
        <v>11</v>
      </c>
      <c r="F18" s="16"/>
      <c r="G18" s="8">
        <v>0.19</v>
      </c>
    </row>
    <row r="19" spans="1:7" x14ac:dyDescent="0.3">
      <c r="A19" s="14"/>
      <c r="B19" s="14"/>
      <c r="C19" s="14"/>
      <c r="D19" s="14"/>
      <c r="E19" s="16" t="s">
        <v>12</v>
      </c>
      <c r="F19" s="16"/>
      <c r="G19" s="7">
        <f>G17*G18</f>
        <v>3866.1675</v>
      </c>
    </row>
    <row r="20" spans="1:7" x14ac:dyDescent="0.3">
      <c r="A20" s="14"/>
      <c r="B20" s="14"/>
      <c r="C20" s="14"/>
      <c r="D20" s="14"/>
      <c r="E20" s="16" t="s">
        <v>13</v>
      </c>
      <c r="F20" s="16"/>
      <c r="G20" s="15">
        <f>G17+G19</f>
        <v>24214.4175</v>
      </c>
    </row>
  </sheetData>
  <mergeCells count="4">
    <mergeCell ref="E17:F17"/>
    <mergeCell ref="E18:F18"/>
    <mergeCell ref="E19:F19"/>
    <mergeCell ref="E20:F20"/>
  </mergeCells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43"/>
  <sheetViews>
    <sheetView workbookViewId="0"/>
  </sheetViews>
  <sheetFormatPr defaultRowHeight="14.4" x14ac:dyDescent="0.3"/>
  <cols>
    <col min="1" max="1" width="12.88671875" customWidth="1"/>
    <col min="2" max="2" width="19.77734375" style="23" customWidth="1"/>
    <col min="3" max="3" width="23.77734375" customWidth="1"/>
    <col min="4" max="4" width="8.88671875" customWidth="1"/>
  </cols>
  <sheetData>
    <row r="1" spans="1:3" ht="14.4" customHeight="1" x14ac:dyDescent="0.3">
      <c r="A1" s="24" t="s">
        <v>14</v>
      </c>
      <c r="B1" s="24"/>
      <c r="C1" s="24"/>
    </row>
    <row r="2" spans="1:3" ht="14.4" customHeight="1" x14ac:dyDescent="0.3">
      <c r="A2" s="24"/>
      <c r="B2" s="24"/>
      <c r="C2" s="24"/>
    </row>
    <row r="3" spans="1:3" ht="15.6" x14ac:dyDescent="0.3">
      <c r="A3" s="17" t="s">
        <v>15</v>
      </c>
      <c r="B3" s="18" t="s">
        <v>16</v>
      </c>
      <c r="C3" s="18" t="s">
        <v>17</v>
      </c>
    </row>
    <row r="4" spans="1:3" x14ac:dyDescent="0.3">
      <c r="A4" s="19">
        <v>591</v>
      </c>
      <c r="B4" s="20" t="s">
        <v>18</v>
      </c>
      <c r="C4" s="20" t="s">
        <v>19</v>
      </c>
    </row>
    <row r="5" spans="1:3" x14ac:dyDescent="0.3">
      <c r="A5" s="21">
        <v>9567</v>
      </c>
      <c r="B5" s="22" t="s">
        <v>20</v>
      </c>
      <c r="C5" s="22" t="s">
        <v>21</v>
      </c>
    </row>
    <row r="6" spans="1:3" x14ac:dyDescent="0.3">
      <c r="A6" s="19">
        <v>542</v>
      </c>
      <c r="B6" s="20" t="s">
        <v>22</v>
      </c>
      <c r="C6" s="20" t="s">
        <v>23</v>
      </c>
    </row>
    <row r="7" spans="1:3" x14ac:dyDescent="0.3">
      <c r="A7" s="21">
        <v>346</v>
      </c>
      <c r="B7" s="22" t="s">
        <v>22</v>
      </c>
      <c r="C7" s="22" t="s">
        <v>24</v>
      </c>
    </row>
    <row r="8" spans="1:3" x14ac:dyDescent="0.3">
      <c r="A8" s="19">
        <v>849</v>
      </c>
      <c r="B8" s="20" t="s">
        <v>18</v>
      </c>
      <c r="C8" s="20" t="s">
        <v>25</v>
      </c>
    </row>
    <row r="9" spans="1:3" x14ac:dyDescent="0.3">
      <c r="A9" s="21">
        <v>552</v>
      </c>
      <c r="B9" s="22" t="s">
        <v>22</v>
      </c>
      <c r="C9" s="22" t="s">
        <v>26</v>
      </c>
    </row>
    <row r="10" spans="1:3" x14ac:dyDescent="0.3">
      <c r="A10" s="19">
        <v>173</v>
      </c>
      <c r="B10" s="20" t="s">
        <v>18</v>
      </c>
      <c r="C10" s="20" t="s">
        <v>24</v>
      </c>
    </row>
    <row r="11" spans="1:3" x14ac:dyDescent="0.3">
      <c r="A11" s="21">
        <v>1355</v>
      </c>
      <c r="B11" s="22" t="s">
        <v>18</v>
      </c>
      <c r="C11" s="22" t="s">
        <v>26</v>
      </c>
    </row>
    <row r="12" spans="1:3" x14ac:dyDescent="0.3">
      <c r="A12" s="19">
        <v>193</v>
      </c>
      <c r="B12" s="19" t="s">
        <v>27</v>
      </c>
      <c r="C12" s="19" t="s">
        <v>28</v>
      </c>
    </row>
    <row r="13" spans="1:3" x14ac:dyDescent="0.3">
      <c r="A13" s="21">
        <v>615</v>
      </c>
      <c r="B13" s="21" t="s">
        <v>27</v>
      </c>
      <c r="C13" s="21" t="s">
        <v>24</v>
      </c>
    </row>
    <row r="14" spans="1:3" x14ac:dyDescent="0.3">
      <c r="A14" s="19">
        <v>1579</v>
      </c>
      <c r="B14" s="19" t="s">
        <v>27</v>
      </c>
      <c r="C14" s="19" t="s">
        <v>21</v>
      </c>
    </row>
    <row r="15" spans="1:3" x14ac:dyDescent="0.3">
      <c r="A15" s="21">
        <v>547</v>
      </c>
      <c r="B15" s="21" t="s">
        <v>20</v>
      </c>
      <c r="C15" s="21" t="s">
        <v>23</v>
      </c>
    </row>
    <row r="16" spans="1:3" x14ac:dyDescent="0.3">
      <c r="A16" s="19">
        <v>1687</v>
      </c>
      <c r="B16" s="19" t="s">
        <v>29</v>
      </c>
      <c r="C16" s="19" t="s">
        <v>23</v>
      </c>
    </row>
    <row r="17" spans="1:3" x14ac:dyDescent="0.3">
      <c r="A17" s="21">
        <v>972</v>
      </c>
      <c r="B17" s="21" t="s">
        <v>22</v>
      </c>
      <c r="C17" s="21" t="s">
        <v>21</v>
      </c>
    </row>
    <row r="18" spans="1:3" x14ac:dyDescent="0.3">
      <c r="A18" s="19">
        <v>234</v>
      </c>
      <c r="B18" s="19" t="s">
        <v>22</v>
      </c>
      <c r="C18" s="19" t="s">
        <v>30</v>
      </c>
    </row>
    <row r="19" spans="1:3" x14ac:dyDescent="0.3">
      <c r="A19" s="21">
        <v>151</v>
      </c>
      <c r="B19" s="21" t="s">
        <v>29</v>
      </c>
      <c r="C19" s="21" t="s">
        <v>28</v>
      </c>
    </row>
    <row r="20" spans="1:3" x14ac:dyDescent="0.3">
      <c r="A20" s="19">
        <v>1793</v>
      </c>
      <c r="B20" s="19" t="s">
        <v>20</v>
      </c>
      <c r="C20" s="19" t="s">
        <v>25</v>
      </c>
    </row>
    <row r="21" spans="1:3" x14ac:dyDescent="0.3">
      <c r="A21" s="21">
        <v>315</v>
      </c>
      <c r="B21" s="21" t="s">
        <v>29</v>
      </c>
      <c r="C21" s="21" t="s">
        <v>25</v>
      </c>
    </row>
    <row r="22" spans="1:3" x14ac:dyDescent="0.3">
      <c r="A22" s="19">
        <v>618</v>
      </c>
      <c r="B22" s="19" t="s">
        <v>20</v>
      </c>
      <c r="C22" s="19" t="s">
        <v>26</v>
      </c>
    </row>
    <row r="23" spans="1:3" x14ac:dyDescent="0.3">
      <c r="A23" s="21">
        <v>246</v>
      </c>
      <c r="B23" s="21" t="s">
        <v>20</v>
      </c>
      <c r="C23" s="21" t="s">
        <v>19</v>
      </c>
    </row>
    <row r="24" spans="1:3" x14ac:dyDescent="0.3">
      <c r="A24" s="19">
        <v>784</v>
      </c>
      <c r="B24" s="19" t="s">
        <v>20</v>
      </c>
      <c r="C24" s="19" t="s">
        <v>28</v>
      </c>
    </row>
    <row r="25" spans="1:3" x14ac:dyDescent="0.3">
      <c r="A25" s="21">
        <v>316</v>
      </c>
      <c r="B25" s="21" t="s">
        <v>27</v>
      </c>
      <c r="C25" s="21" t="s">
        <v>23</v>
      </c>
    </row>
    <row r="26" spans="1:3" x14ac:dyDescent="0.3">
      <c r="A26" s="19">
        <v>3155</v>
      </c>
      <c r="B26" s="19" t="s">
        <v>18</v>
      </c>
      <c r="C26" s="19" t="s">
        <v>23</v>
      </c>
    </row>
    <row r="27" spans="1:3" x14ac:dyDescent="0.3">
      <c r="A27" s="21">
        <v>318</v>
      </c>
      <c r="B27" s="21" t="s">
        <v>29</v>
      </c>
      <c r="C27" s="21" t="s">
        <v>30</v>
      </c>
    </row>
    <row r="28" spans="1:3" x14ac:dyDescent="0.3">
      <c r="A28" s="19">
        <v>608</v>
      </c>
      <c r="B28" s="19" t="s">
        <v>22</v>
      </c>
      <c r="C28" s="19" t="s">
        <v>25</v>
      </c>
    </row>
    <row r="29" spans="1:3" x14ac:dyDescent="0.3">
      <c r="A29" s="21">
        <v>561</v>
      </c>
      <c r="B29" s="21" t="s">
        <v>18</v>
      </c>
      <c r="C29" s="21" t="s">
        <v>28</v>
      </c>
    </row>
    <row r="30" spans="1:3" x14ac:dyDescent="0.3">
      <c r="A30" s="19">
        <v>357</v>
      </c>
      <c r="B30" s="19" t="s">
        <v>29</v>
      </c>
      <c r="C30" s="19" t="s">
        <v>19</v>
      </c>
    </row>
    <row r="31" spans="1:3" x14ac:dyDescent="0.3">
      <c r="A31" s="21">
        <v>1688</v>
      </c>
      <c r="B31" s="21" t="s">
        <v>27</v>
      </c>
      <c r="C31" s="21" t="s">
        <v>25</v>
      </c>
    </row>
    <row r="32" spans="1:3" x14ac:dyDescent="0.3">
      <c r="A32" s="19">
        <v>972</v>
      </c>
      <c r="B32" s="19" t="s">
        <v>22</v>
      </c>
      <c r="C32" s="19" t="s">
        <v>28</v>
      </c>
    </row>
    <row r="33" spans="1:3" x14ac:dyDescent="0.3">
      <c r="A33" s="21">
        <v>568</v>
      </c>
      <c r="B33" s="21" t="s">
        <v>20</v>
      </c>
      <c r="C33" s="21" t="s">
        <v>30</v>
      </c>
    </row>
    <row r="34" spans="1:3" x14ac:dyDescent="0.3">
      <c r="A34" s="19">
        <v>632</v>
      </c>
      <c r="B34" s="19" t="s">
        <v>27</v>
      </c>
      <c r="C34" s="19" t="s">
        <v>30</v>
      </c>
    </row>
    <row r="35" spans="1:3" x14ac:dyDescent="0.3">
      <c r="A35" s="21">
        <v>551</v>
      </c>
      <c r="B35" s="21" t="s">
        <v>29</v>
      </c>
      <c r="C35" s="21" t="s">
        <v>26</v>
      </c>
    </row>
    <row r="36" spans="1:3" x14ac:dyDescent="0.3">
      <c r="A36" s="19">
        <v>948</v>
      </c>
      <c r="B36" s="19" t="s">
        <v>20</v>
      </c>
      <c r="C36" s="19" t="s">
        <v>24</v>
      </c>
    </row>
    <row r="37" spans="1:3" x14ac:dyDescent="0.3">
      <c r="A37" s="21">
        <v>1358</v>
      </c>
      <c r="B37" s="21" t="s">
        <v>18</v>
      </c>
      <c r="C37" s="21" t="s">
        <v>21</v>
      </c>
    </row>
    <row r="38" spans="1:3" x14ac:dyDescent="0.3">
      <c r="A38" s="19">
        <v>135</v>
      </c>
      <c r="B38" s="19" t="s">
        <v>18</v>
      </c>
      <c r="C38" s="19" t="s">
        <v>30</v>
      </c>
    </row>
    <row r="39" spans="1:3" x14ac:dyDescent="0.3">
      <c r="A39" s="21">
        <v>849</v>
      </c>
      <c r="B39" s="21" t="s">
        <v>27</v>
      </c>
      <c r="C39" s="21" t="s">
        <v>19</v>
      </c>
    </row>
    <row r="40" spans="1:3" x14ac:dyDescent="0.3">
      <c r="A40" s="19">
        <v>158</v>
      </c>
      <c r="B40" s="19" t="s">
        <v>29</v>
      </c>
      <c r="C40" s="19" t="s">
        <v>24</v>
      </c>
    </row>
    <row r="41" spans="1:3" x14ac:dyDescent="0.3">
      <c r="A41" s="21">
        <v>1889</v>
      </c>
      <c r="B41" s="21" t="s">
        <v>27</v>
      </c>
      <c r="C41" s="21" t="s">
        <v>26</v>
      </c>
    </row>
    <row r="42" spans="1:3" x14ac:dyDescent="0.3">
      <c r="A42" s="19">
        <v>651</v>
      </c>
      <c r="B42" s="19" t="s">
        <v>29</v>
      </c>
      <c r="C42" s="19" t="s">
        <v>21</v>
      </c>
    </row>
    <row r="43" spans="1:3" x14ac:dyDescent="0.3">
      <c r="A43" s="21">
        <v>651</v>
      </c>
      <c r="B43" s="21" t="s">
        <v>22</v>
      </c>
      <c r="C43" s="21" t="s">
        <v>19</v>
      </c>
    </row>
  </sheetData>
  <mergeCells count="1">
    <mergeCell ref="A1:C2"/>
  </mergeCells>
  <pageMargins left="0.70000000000000007" right="0.70000000000000007" top="0.75" bottom="0.75" header="0.30000000000000004" footer="0.3000000000000000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0"/>
  <sheetViews>
    <sheetView workbookViewId="0">
      <selection activeCell="I7" sqref="I7"/>
    </sheetView>
  </sheetViews>
  <sheetFormatPr defaultRowHeight="14.4" x14ac:dyDescent="0.3"/>
  <cols>
    <col min="1" max="1" width="11.6640625" bestFit="1" customWidth="1"/>
    <col min="2" max="2" width="15.44140625" bestFit="1" customWidth="1"/>
    <col min="3" max="3" width="18.6640625" bestFit="1" customWidth="1"/>
    <col min="4" max="4" width="8.88671875" customWidth="1"/>
  </cols>
  <sheetData>
    <row r="1" spans="1:3" ht="21" x14ac:dyDescent="0.4">
      <c r="A1" s="25" t="s">
        <v>31</v>
      </c>
    </row>
    <row r="3" spans="1:3" x14ac:dyDescent="0.3">
      <c r="B3" s="26" t="s">
        <v>36</v>
      </c>
    </row>
    <row r="4" spans="1:3" x14ac:dyDescent="0.3">
      <c r="A4" s="26" t="s">
        <v>16</v>
      </c>
      <c r="B4" t="s">
        <v>32</v>
      </c>
      <c r="C4" t="s">
        <v>37</v>
      </c>
    </row>
    <row r="5" spans="1:3" x14ac:dyDescent="0.3">
      <c r="A5" t="s">
        <v>18</v>
      </c>
      <c r="B5" s="27">
        <v>8177</v>
      </c>
      <c r="C5" s="27">
        <v>1022.125</v>
      </c>
    </row>
    <row r="6" spans="1:3" x14ac:dyDescent="0.3">
      <c r="A6" t="s">
        <v>22</v>
      </c>
      <c r="B6" s="27">
        <v>4877</v>
      </c>
      <c r="C6" s="27">
        <v>609.625</v>
      </c>
    </row>
    <row r="7" spans="1:3" x14ac:dyDescent="0.3">
      <c r="A7" t="s">
        <v>27</v>
      </c>
      <c r="B7" s="27">
        <v>7761</v>
      </c>
      <c r="C7" s="27">
        <v>970.125</v>
      </c>
    </row>
    <row r="8" spans="1:3" x14ac:dyDescent="0.3">
      <c r="A8" t="s">
        <v>20</v>
      </c>
      <c r="B8" s="27">
        <v>15071</v>
      </c>
      <c r="C8" s="27">
        <v>1883.875</v>
      </c>
    </row>
    <row r="9" spans="1:3" x14ac:dyDescent="0.3">
      <c r="A9" t="s">
        <v>29</v>
      </c>
      <c r="B9" s="27">
        <v>4188</v>
      </c>
      <c r="C9" s="27">
        <v>523.5</v>
      </c>
    </row>
    <row r="10" spans="1:3" x14ac:dyDescent="0.3">
      <c r="A10" t="s">
        <v>33</v>
      </c>
      <c r="B10" s="27">
        <v>40074</v>
      </c>
      <c r="C10" s="27">
        <v>1001.85</v>
      </c>
    </row>
  </sheetData>
  <pageMargins left="0.70000000000000007" right="0.70000000000000007" top="0.75" bottom="0.75" header="0.30000000000000004" footer="0.3000000000000000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tabSelected="1" workbookViewId="0">
      <selection activeCell="G18" sqref="G18"/>
    </sheetView>
  </sheetViews>
  <sheetFormatPr defaultRowHeight="14.4" x14ac:dyDescent="0.3"/>
  <cols>
    <col min="1" max="1" width="12.109375" bestFit="1" customWidth="1"/>
    <col min="2" max="2" width="15.44140625" bestFit="1" customWidth="1"/>
    <col min="3" max="3" width="18.6640625" bestFit="1" customWidth="1"/>
    <col min="4" max="4" width="8.88671875" customWidth="1"/>
  </cols>
  <sheetData>
    <row r="1" spans="1:3" ht="21" x14ac:dyDescent="0.4">
      <c r="A1" s="25" t="s">
        <v>34</v>
      </c>
    </row>
    <row r="3" spans="1:3" x14ac:dyDescent="0.3">
      <c r="B3" s="26" t="s">
        <v>36</v>
      </c>
    </row>
    <row r="4" spans="1:3" x14ac:dyDescent="0.3">
      <c r="A4" s="26" t="s">
        <v>17</v>
      </c>
      <c r="B4" t="s">
        <v>32</v>
      </c>
      <c r="C4" t="s">
        <v>37</v>
      </c>
    </row>
    <row r="5" spans="1:3" x14ac:dyDescent="0.3">
      <c r="A5" t="s">
        <v>21</v>
      </c>
      <c r="B5" s="27">
        <v>14127</v>
      </c>
      <c r="C5" s="27">
        <v>2825.4</v>
      </c>
    </row>
    <row r="6" spans="1:3" x14ac:dyDescent="0.3">
      <c r="A6" t="s">
        <v>25</v>
      </c>
      <c r="B6" s="27">
        <v>5253</v>
      </c>
      <c r="C6" s="27">
        <v>1050.5999999999999</v>
      </c>
    </row>
    <row r="7" spans="1:3" x14ac:dyDescent="0.3">
      <c r="A7" t="s">
        <v>26</v>
      </c>
      <c r="B7" s="27">
        <v>4965</v>
      </c>
      <c r="C7" s="27">
        <v>993</v>
      </c>
    </row>
    <row r="8" spans="1:3" x14ac:dyDescent="0.3">
      <c r="A8" t="s">
        <v>23</v>
      </c>
      <c r="B8" s="27">
        <v>6247</v>
      </c>
      <c r="C8" s="27">
        <v>1249.4000000000001</v>
      </c>
    </row>
    <row r="9" spans="1:3" x14ac:dyDescent="0.3">
      <c r="A9" t="s">
        <v>24</v>
      </c>
      <c r="B9" s="27">
        <v>2240</v>
      </c>
      <c r="C9" s="27">
        <v>448</v>
      </c>
    </row>
    <row r="10" spans="1:3" x14ac:dyDescent="0.3">
      <c r="A10" t="s">
        <v>30</v>
      </c>
      <c r="B10" s="27">
        <v>1887</v>
      </c>
      <c r="C10" s="27">
        <v>377.4</v>
      </c>
    </row>
    <row r="11" spans="1:3" x14ac:dyDescent="0.3">
      <c r="A11" t="s">
        <v>28</v>
      </c>
      <c r="B11" s="27">
        <v>2661</v>
      </c>
      <c r="C11" s="27">
        <v>532.20000000000005</v>
      </c>
    </row>
    <row r="12" spans="1:3" x14ac:dyDescent="0.3">
      <c r="A12" t="s">
        <v>19</v>
      </c>
      <c r="B12" s="27">
        <v>2694</v>
      </c>
      <c r="C12" s="27">
        <v>538.79999999999995</v>
      </c>
    </row>
    <row r="13" spans="1:3" x14ac:dyDescent="0.3">
      <c r="A13" t="s">
        <v>33</v>
      </c>
      <c r="B13" s="27">
        <v>40074</v>
      </c>
      <c r="C13" s="27">
        <v>1001.85</v>
      </c>
    </row>
  </sheetData>
  <pageMargins left="0.70000000000000007" right="0.70000000000000007" top="0.75" bottom="0.75" header="0.30000000000000004" footer="0.3000000000000000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activeCell="I10" sqref="I10"/>
    </sheetView>
  </sheetViews>
  <sheetFormatPr defaultRowHeight="14.4" x14ac:dyDescent="0.3"/>
  <cols>
    <col min="1" max="1" width="15.44140625" bestFit="1" customWidth="1"/>
    <col min="2" max="6" width="12" bestFit="1" customWidth="1"/>
    <col min="7" max="7" width="10.77734375" bestFit="1" customWidth="1"/>
    <col min="8" max="8" width="8.88671875" customWidth="1"/>
  </cols>
  <sheetData>
    <row r="1" spans="1:7" ht="21" x14ac:dyDescent="0.4">
      <c r="A1" s="25" t="s">
        <v>35</v>
      </c>
    </row>
    <row r="3" spans="1:7" x14ac:dyDescent="0.3">
      <c r="A3" s="26" t="s">
        <v>32</v>
      </c>
      <c r="B3" s="26" t="s">
        <v>16</v>
      </c>
    </row>
    <row r="4" spans="1:7" x14ac:dyDescent="0.3">
      <c r="A4" s="26" t="s">
        <v>17</v>
      </c>
      <c r="B4" t="s">
        <v>18</v>
      </c>
      <c r="C4" t="s">
        <v>22</v>
      </c>
      <c r="D4" t="s">
        <v>27</v>
      </c>
      <c r="E4" t="s">
        <v>20</v>
      </c>
      <c r="F4" t="s">
        <v>29</v>
      </c>
      <c r="G4" t="s">
        <v>33</v>
      </c>
    </row>
    <row r="5" spans="1:7" x14ac:dyDescent="0.3">
      <c r="A5" t="s">
        <v>21</v>
      </c>
      <c r="B5" s="27">
        <v>1358</v>
      </c>
      <c r="C5" s="27">
        <v>972</v>
      </c>
      <c r="D5" s="27">
        <v>1579</v>
      </c>
      <c r="E5" s="27">
        <v>9567</v>
      </c>
      <c r="F5" s="27">
        <v>651</v>
      </c>
      <c r="G5" s="27">
        <v>14127</v>
      </c>
    </row>
    <row r="6" spans="1:7" x14ac:dyDescent="0.3">
      <c r="A6" t="s">
        <v>25</v>
      </c>
      <c r="B6" s="27">
        <v>849</v>
      </c>
      <c r="C6" s="27">
        <v>608</v>
      </c>
      <c r="D6" s="27">
        <v>1688</v>
      </c>
      <c r="E6" s="27">
        <v>1793</v>
      </c>
      <c r="F6" s="27">
        <v>315</v>
      </c>
      <c r="G6" s="27">
        <v>5253</v>
      </c>
    </row>
    <row r="7" spans="1:7" x14ac:dyDescent="0.3">
      <c r="A7" t="s">
        <v>26</v>
      </c>
      <c r="B7" s="27">
        <v>1355</v>
      </c>
      <c r="C7" s="27">
        <v>552</v>
      </c>
      <c r="D7" s="27">
        <v>1889</v>
      </c>
      <c r="E7" s="27">
        <v>618</v>
      </c>
      <c r="F7" s="27">
        <v>551</v>
      </c>
      <c r="G7" s="27">
        <v>4965</v>
      </c>
    </row>
    <row r="8" spans="1:7" x14ac:dyDescent="0.3">
      <c r="A8" t="s">
        <v>23</v>
      </c>
      <c r="B8" s="27">
        <v>3155</v>
      </c>
      <c r="C8" s="27">
        <v>542</v>
      </c>
      <c r="D8" s="27">
        <v>316</v>
      </c>
      <c r="E8" s="27">
        <v>547</v>
      </c>
      <c r="F8" s="27">
        <v>1687</v>
      </c>
      <c r="G8" s="27">
        <v>6247</v>
      </c>
    </row>
    <row r="9" spans="1:7" x14ac:dyDescent="0.3">
      <c r="A9" t="s">
        <v>24</v>
      </c>
      <c r="B9" s="27">
        <v>173</v>
      </c>
      <c r="C9" s="27">
        <v>346</v>
      </c>
      <c r="D9" s="27">
        <v>615</v>
      </c>
      <c r="E9" s="27">
        <v>948</v>
      </c>
      <c r="F9" s="27">
        <v>158</v>
      </c>
      <c r="G9" s="27">
        <v>2240</v>
      </c>
    </row>
    <row r="10" spans="1:7" x14ac:dyDescent="0.3">
      <c r="A10" t="s">
        <v>30</v>
      </c>
      <c r="B10" s="27">
        <v>135</v>
      </c>
      <c r="C10" s="27">
        <v>234</v>
      </c>
      <c r="D10" s="27">
        <v>632</v>
      </c>
      <c r="E10" s="27">
        <v>568</v>
      </c>
      <c r="F10" s="27">
        <v>318</v>
      </c>
      <c r="G10" s="27">
        <v>1887</v>
      </c>
    </row>
    <row r="11" spans="1:7" x14ac:dyDescent="0.3">
      <c r="A11" t="s">
        <v>28</v>
      </c>
      <c r="B11" s="27">
        <v>561</v>
      </c>
      <c r="C11" s="27">
        <v>972</v>
      </c>
      <c r="D11" s="27">
        <v>193</v>
      </c>
      <c r="E11" s="27">
        <v>784</v>
      </c>
      <c r="F11" s="27">
        <v>151</v>
      </c>
      <c r="G11" s="27">
        <v>2661</v>
      </c>
    </row>
    <row r="12" spans="1:7" x14ac:dyDescent="0.3">
      <c r="A12" t="s">
        <v>19</v>
      </c>
      <c r="B12" s="27">
        <v>591</v>
      </c>
      <c r="C12" s="27">
        <v>651</v>
      </c>
      <c r="D12" s="27">
        <v>849</v>
      </c>
      <c r="E12" s="27">
        <v>246</v>
      </c>
      <c r="F12" s="27">
        <v>357</v>
      </c>
      <c r="G12" s="27">
        <v>2694</v>
      </c>
    </row>
    <row r="13" spans="1:7" x14ac:dyDescent="0.3">
      <c r="A13" t="s">
        <v>33</v>
      </c>
      <c r="B13" s="27">
        <v>8177</v>
      </c>
      <c r="C13" s="27">
        <v>4877</v>
      </c>
      <c r="D13" s="27">
        <v>7761</v>
      </c>
      <c r="E13" s="27">
        <v>15071</v>
      </c>
      <c r="F13" s="27">
        <v>4188</v>
      </c>
      <c r="G13" s="27">
        <v>40074</v>
      </c>
    </row>
  </sheetData>
  <pageMargins left="0.70000000000000007" right="0.70000000000000007" top="0.75" bottom="0.75" header="0.30000000000000004" footer="0.30000000000000004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cols>
    <col min="1" max="1" width="8.88671875" customWidth="1"/>
  </cols>
  <sheetData/>
  <pageMargins left="0.70000000000000007" right="0.70000000000000007" top="0.75" bottom="0.75" header="0.30000000000000004" footer="0.3000000000000000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Question_4</vt:lpstr>
      <vt:lpstr>Question_3</vt:lpstr>
      <vt:lpstr>QUESTION_1</vt:lpstr>
      <vt:lpstr>Q2_(TABEL_1)</vt:lpstr>
      <vt:lpstr>Q2_(TABLE_2)</vt:lpstr>
      <vt:lpstr>Q2_(TABLE_3_)</vt:lpstr>
      <vt:lpstr>Sheet5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info</cp:lastModifiedBy>
  <dcterms:created xsi:type="dcterms:W3CDTF">2023-12-31T15:28:27Z</dcterms:created>
  <dcterms:modified xsi:type="dcterms:W3CDTF">2024-01-05T22:29:57Z</dcterms:modified>
</cp:coreProperties>
</file>